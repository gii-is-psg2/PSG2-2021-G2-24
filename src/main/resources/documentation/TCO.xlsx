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\US2\US\PSG2\"/>
    </mc:Choice>
  </mc:AlternateContent>
  <xr:revisionPtr revIDLastSave="0" documentId="13_ncr:40019_{8C19D485-C334-495D-8767-8C4023B3A98B}" xr6:coauthVersionLast="46" xr6:coauthVersionMax="46" xr10:uidLastSave="{00000000-0000-0000-0000-000000000000}"/>
  <bookViews>
    <workbookView xWindow="-120" yWindow="-120" windowWidth="20730" windowHeight="11760"/>
  </bookViews>
  <sheets>
    <sheet name="TCO Calculator" sheetId="1" r:id="rId1"/>
    <sheet name="TCO Chart" sheetId="3" r:id="rId2"/>
  </sheets>
  <definedNames>
    <definedName name="_xlnm.Print_Area" localSheetId="0">'TCO Calculator'!$A$1:$G$51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12" i="1" s="1"/>
  <c r="C7" i="1"/>
  <c r="C64" i="1"/>
  <c r="D85" i="1"/>
  <c r="C51" i="1"/>
  <c r="C38" i="1"/>
  <c r="D5" i="1" s="1"/>
  <c r="D19" i="1" l="1"/>
  <c r="D18" i="1"/>
  <c r="D23" i="1"/>
  <c r="D15" i="1"/>
  <c r="D22" i="1"/>
  <c r="D14" i="1"/>
  <c r="D21" i="1"/>
  <c r="D17" i="1"/>
  <c r="D13" i="1"/>
  <c r="D20" i="1"/>
  <c r="D16" i="1"/>
  <c r="D6" i="1"/>
  <c r="C6" i="1"/>
  <c r="C5" i="1"/>
  <c r="C13" i="1"/>
  <c r="G13" i="1" l="1"/>
  <c r="C20" i="1"/>
  <c r="C16" i="1"/>
  <c r="C21" i="1"/>
  <c r="C23" i="1"/>
  <c r="C19" i="1"/>
  <c r="C15" i="1"/>
  <c r="C22" i="1"/>
  <c r="C18" i="1"/>
  <c r="C17" i="1"/>
  <c r="C14" i="1"/>
  <c r="C12" i="1"/>
  <c r="G12" i="1" l="1"/>
  <c r="G17" i="1"/>
  <c r="G20" i="1"/>
  <c r="G19" i="1"/>
  <c r="G22" i="1"/>
  <c r="G23" i="1"/>
  <c r="G18" i="1"/>
  <c r="G21" i="1"/>
  <c r="G15" i="1"/>
  <c r="G14" i="1"/>
  <c r="G16" i="1"/>
</calcChain>
</file>

<file path=xl/sharedStrings.xml><?xml version="1.0" encoding="utf-8"?>
<sst xmlns="http://schemas.openxmlformats.org/spreadsheetml/2006/main" count="182" uniqueCount="55">
  <si>
    <t>CI</t>
  </si>
  <si>
    <t>PC Ángel</t>
  </si>
  <si>
    <t>PC Ginés</t>
  </si>
  <si>
    <t>PC Francisco</t>
  </si>
  <si>
    <t>PC David</t>
  </si>
  <si>
    <t>PC Pablo</t>
  </si>
  <si>
    <t>PCs</t>
  </si>
  <si>
    <t>Periféricos</t>
  </si>
  <si>
    <t>Periféricos Ginés</t>
  </si>
  <si>
    <t>Periféricos Ángel</t>
  </si>
  <si>
    <t>Periféricos Francisco</t>
  </si>
  <si>
    <t>Periféricos David</t>
  </si>
  <si>
    <t>Periféricos Pablo</t>
  </si>
  <si>
    <t>€</t>
  </si>
  <si>
    <t>TOTAL</t>
  </si>
  <si>
    <t>Precio</t>
  </si>
  <si>
    <t>Unidad</t>
  </si>
  <si>
    <t>Discord</t>
  </si>
  <si>
    <t>Eclipse</t>
  </si>
  <si>
    <t>GitHub</t>
  </si>
  <si>
    <t>Google Drive</t>
  </si>
  <si>
    <t>Heroku</t>
  </si>
  <si>
    <t>Maven</t>
  </si>
  <si>
    <t>Office 365</t>
  </si>
  <si>
    <t>Toggl</t>
  </si>
  <si>
    <t>ZenHub</t>
  </si>
  <si>
    <t>Amazon API</t>
  </si>
  <si>
    <t>Supporting teams</t>
  </si>
  <si>
    <t>Equipo de mantenimiento</t>
  </si>
  <si>
    <t>Ginés Pastor Fernández</t>
  </si>
  <si>
    <t>Ángel Martín Núñez</t>
  </si>
  <si>
    <t>David Barragán Salazar</t>
  </si>
  <si>
    <t>Pablo Colmenero Capote</t>
  </si>
  <si>
    <t>Francisco Rodríguez Pérez</t>
  </si>
  <si>
    <t>Equipo de asistencia técnica</t>
  </si>
  <si>
    <t>Equipo de desarrollo</t>
  </si>
  <si>
    <t>Función</t>
  </si>
  <si>
    <t>Desarrollador</t>
  </si>
  <si>
    <t>Scrum Master</t>
  </si>
  <si>
    <t>Coste petición extra</t>
  </si>
  <si>
    <t>Provider Contracts (Plan Pro)</t>
  </si>
  <si>
    <t>Plan Pro</t>
  </si>
  <si>
    <t>Provider Contracts (Plan Ultra)</t>
  </si>
  <si>
    <t>Plan Ultra</t>
  </si>
  <si>
    <t>Máximo de peticiones</t>
  </si>
  <si>
    <t>Precio/mes</t>
  </si>
  <si>
    <t>Elección de plan</t>
  </si>
  <si>
    <t>Peticiones</t>
  </si>
  <si>
    <t>Datos iniciales</t>
  </si>
  <si>
    <t>Coste inicial (CI)</t>
  </si>
  <si>
    <t>Coste mensual API</t>
  </si>
  <si>
    <t>Coste mensual base (Providers and Teams)</t>
  </si>
  <si>
    <t>Sobre coste</t>
  </si>
  <si>
    <t>según peticiones</t>
  </si>
  <si>
    <t>Coste total de operación G2-24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</si>
</sst>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7" formatCode="#,##0.0000_ ;[Red]\-#,##0.0000\ "/>
    <numFmt numFmtId="178" formatCode="#,##0.00_ ;[Red]\-#,##0.00\ "/>
  </numFmts>
  <fonts count="16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sz val="9"/>
      <name val="Arial"/>
      <family val="2"/>
    </font>
    <font>
      <b/>
      <sz val="10"/>
      <color indexed="9"/>
      <name val="Arial"/>
    </font>
    <font>
      <sz val="20"/>
      <name val="Arial"/>
    </font>
    <font>
      <sz val="10"/>
      <name val="Arial"/>
      <family val="2"/>
    </font>
    <font>
      <sz val="10"/>
      <name val="Arial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sz val="20"/>
      <name val="Arial Black"/>
      <family val="2"/>
    </font>
    <font>
      <sz val="10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  <bgColor indexed="2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170" fontId="0" fillId="0" borderId="1" xfId="1" applyFont="1" applyFill="1" applyBorder="1"/>
    <xf numFmtId="0" fontId="4" fillId="0" borderId="1" xfId="0" applyFont="1" applyFill="1" applyBorder="1" applyAlignment="1">
      <alignment vertical="center"/>
    </xf>
    <xf numFmtId="0" fontId="9" fillId="0" borderId="0" xfId="0" applyFont="1" applyFill="1" applyBorder="1"/>
    <xf numFmtId="0" fontId="10" fillId="0" borderId="0" xfId="0" applyFont="1" applyFill="1" applyBorder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40" fontId="7" fillId="2" borderId="0" xfId="0" applyNumberFormat="1" applyFont="1" applyFill="1" applyBorder="1" applyAlignment="1">
      <alignment vertical="center"/>
    </xf>
    <xf numFmtId="0" fontId="0" fillId="3" borderId="0" xfId="0" applyFill="1" applyBorder="1"/>
    <xf numFmtId="0" fontId="7" fillId="0" borderId="0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4" fillId="0" borderId="4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left" vertical="center" indent="1"/>
    </xf>
    <xf numFmtId="0" fontId="5" fillId="3" borderId="4" xfId="0" applyFont="1" applyFill="1" applyBorder="1"/>
    <xf numFmtId="0" fontId="3" fillId="4" borderId="0" xfId="0" applyFont="1" applyFill="1" applyBorder="1" applyAlignment="1">
      <alignment vertical="center"/>
    </xf>
    <xf numFmtId="0" fontId="12" fillId="4" borderId="0" xfId="0" applyFont="1" applyFill="1" applyBorder="1" applyAlignment="1">
      <alignment horizontal="right" vertical="center" wrapText="1"/>
    </xf>
    <xf numFmtId="0" fontId="12" fillId="3" borderId="9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8" fillId="3" borderId="0" xfId="0" applyFont="1" applyFill="1" applyBorder="1"/>
    <xf numFmtId="0" fontId="8" fillId="3" borderId="4" xfId="0" applyFont="1" applyFill="1" applyBorder="1" applyAlignment="1">
      <alignment horizontal="center" wrapText="1"/>
    </xf>
    <xf numFmtId="0" fontId="12" fillId="3" borderId="5" xfId="0" applyFont="1" applyFill="1" applyBorder="1"/>
    <xf numFmtId="0" fontId="14" fillId="3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12" fillId="0" borderId="7" xfId="0" applyFont="1" applyFill="1" applyBorder="1" applyAlignment="1" applyProtection="1">
      <alignment vertical="center"/>
      <protection locked="0"/>
    </xf>
    <xf numFmtId="0" fontId="12" fillId="3" borderId="6" xfId="0" applyFont="1" applyFill="1" applyBorder="1"/>
    <xf numFmtId="0" fontId="7" fillId="3" borderId="0" xfId="0" applyFont="1" applyFill="1" applyBorder="1"/>
    <xf numFmtId="0" fontId="15" fillId="3" borderId="4" xfId="0" applyFont="1" applyFill="1" applyBorder="1"/>
    <xf numFmtId="0" fontId="7" fillId="0" borderId="0" xfId="0" applyFont="1"/>
    <xf numFmtId="0" fontId="11" fillId="0" borderId="7" xfId="0" applyFont="1" applyFill="1" applyBorder="1"/>
    <xf numFmtId="0" fontId="7" fillId="0" borderId="7" xfId="0" applyFont="1" applyBorder="1"/>
    <xf numFmtId="177" fontId="7" fillId="2" borderId="0" xfId="0" applyNumberFormat="1" applyFont="1" applyFill="1" applyBorder="1" applyAlignment="1">
      <alignment vertical="center"/>
    </xf>
    <xf numFmtId="178" fontId="7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15" fillId="3" borderId="0" xfId="0" applyFont="1" applyFill="1" applyBorder="1"/>
    <xf numFmtId="0" fontId="12" fillId="4" borderId="0" xfId="0" applyFont="1" applyFill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Cost comparison per month</a:t>
            </a:r>
          </a:p>
        </c:rich>
      </c:tx>
      <c:layout>
        <c:manualLayout>
          <c:xMode val="edge"/>
          <c:yMode val="edge"/>
          <c:x val="0.3873473917869034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95449500554938"/>
          <c:y val="0.12071778140293637"/>
          <c:w val="0.71809100998890119"/>
          <c:h val="0.77324632952691685"/>
        </c:manualLayout>
      </c:layout>
      <c:lineChart>
        <c:grouping val="standard"/>
        <c:varyColors val="0"/>
        <c:ser>
          <c:idx val="0"/>
          <c:order val="0"/>
          <c:tx>
            <c:strRef>
              <c:f>'TCO Calculator'!$C$4</c:f>
              <c:strCache>
                <c:ptCount val="1"/>
                <c:pt idx="0">
                  <c:v>Plan Pro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'TCO Calculator'!$B$12:$B$23</c:f>
              <c:numCache>
                <c:formatCode>General</c:formatCode>
                <c:ptCount val="12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</c:numCache>
            </c:numRef>
          </c:cat>
          <c:val>
            <c:numRef>
              <c:f>'TCO Calculator'!$C$12:$C$23</c:f>
              <c:numCache>
                <c:formatCode>#,##0.00_);[Red]\(#,##0.00\)</c:formatCode>
                <c:ptCount val="12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16.5</c:v>
                </c:pt>
                <c:pt idx="4">
                  <c:v>21</c:v>
                </c:pt>
                <c:pt idx="5">
                  <c:v>25.5</c:v>
                </c:pt>
                <c:pt idx="6">
                  <c:v>30</c:v>
                </c:pt>
                <c:pt idx="7">
                  <c:v>34.5</c:v>
                </c:pt>
                <c:pt idx="8">
                  <c:v>39</c:v>
                </c:pt>
                <c:pt idx="9">
                  <c:v>43.5</c:v>
                </c:pt>
                <c:pt idx="10">
                  <c:v>48</c:v>
                </c:pt>
                <c:pt idx="11">
                  <c:v>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4-47EC-9CBE-78A252B98C5D}"/>
            </c:ext>
          </c:extLst>
        </c:ser>
        <c:ser>
          <c:idx val="1"/>
          <c:order val="1"/>
          <c:tx>
            <c:strRef>
              <c:f>'TCO Calculator'!$D$4</c:f>
              <c:strCache>
                <c:ptCount val="1"/>
                <c:pt idx="0">
                  <c:v>Plan Ultra</c:v>
                </c:pt>
              </c:strCache>
            </c:strRef>
          </c:tx>
          <c:cat>
            <c:numRef>
              <c:f>'TCO Calculator'!$B$12:$B$23</c:f>
              <c:numCache>
                <c:formatCode>General</c:formatCode>
                <c:ptCount val="12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</c:numCache>
            </c:numRef>
          </c:cat>
          <c:val>
            <c:numRef>
              <c:f>'TCO Calculator'!$D$12:$D$23</c:f>
              <c:numCache>
                <c:formatCode>#,##0.00_);[Red]\(#,##0.00\)</c:formatCode>
                <c:ptCount val="1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44.5</c:v>
                </c:pt>
                <c:pt idx="10">
                  <c:v>49</c:v>
                </c:pt>
                <c:pt idx="11">
                  <c:v>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74-47EC-9CBE-78A252B98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45584"/>
        <c:axId val="1"/>
      </c:lineChart>
      <c:catAx>
        <c:axId val="104745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Peticiones</a:t>
                </a:r>
              </a:p>
            </c:rich>
          </c:tx>
          <c:layout>
            <c:manualLayout>
              <c:xMode val="edge"/>
              <c:yMode val="edge"/>
              <c:x val="0.46614872364039955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8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Annual
cost</a:t>
                </a:r>
              </a:p>
            </c:rich>
          </c:tx>
          <c:layout>
            <c:manualLayout>
              <c:xMode val="edge"/>
              <c:yMode val="edge"/>
              <c:x val="1.3318534961154272E-2"/>
              <c:y val="0.4747145187601957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_);[Red]\(#,##0.0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0474558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237513873473914"/>
          <c:y val="0.46982055464926592"/>
          <c:w val="0.10414905525145605"/>
          <c:h val="7.028281950246469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2">
    <tabColor indexed="18"/>
  </sheetPr>
  <sheetViews>
    <sheetView zoomScale="70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3448" cy="584637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8F3352-BC69-496A-A73C-66B5BA0B27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57"/>
  </sheetPr>
  <dimension ref="A1:G85"/>
  <sheetViews>
    <sheetView tabSelected="1" zoomScale="70" zoomScaleNormal="70" workbookViewId="0">
      <selection activeCell="N30" sqref="N30"/>
    </sheetView>
  </sheetViews>
  <sheetFormatPr baseColWidth="10" defaultRowHeight="12.75" x14ac:dyDescent="0.2"/>
  <cols>
    <col min="1" max="1" width="3.7109375" customWidth="1"/>
    <col min="2" max="2" width="36.85546875" style="1" customWidth="1"/>
    <col min="3" max="3" width="15" customWidth="1"/>
    <col min="4" max="4" width="14.85546875" customWidth="1"/>
    <col min="5" max="5" width="8" customWidth="1"/>
    <col min="6" max="6" width="7.85546875" customWidth="1"/>
    <col min="7" max="7" width="16.140625" customWidth="1"/>
    <col min="8" max="8" width="9.140625" customWidth="1"/>
    <col min="9" max="9" width="23.7109375" customWidth="1"/>
    <col min="10" max="256" width="9.140625" customWidth="1"/>
  </cols>
  <sheetData>
    <row r="1" spans="1:7" ht="36" customHeight="1" x14ac:dyDescent="0.6">
      <c r="A1" s="32" t="s">
        <v>54</v>
      </c>
      <c r="B1" s="33"/>
      <c r="C1" s="33"/>
      <c r="D1" s="33"/>
      <c r="E1" s="33"/>
      <c r="F1" s="30"/>
      <c r="G1" s="9"/>
    </row>
    <row r="2" spans="1:7" ht="12.6" customHeight="1" x14ac:dyDescent="0.2">
      <c r="A2" s="34"/>
      <c r="B2" s="34"/>
      <c r="C2" s="34"/>
      <c r="D2" s="34"/>
      <c r="E2" s="34"/>
      <c r="F2" s="15"/>
      <c r="G2" s="2"/>
    </row>
    <row r="3" spans="1:7" ht="12.6" customHeight="1" x14ac:dyDescent="0.2">
      <c r="A3" s="34"/>
      <c r="B3" s="34"/>
      <c r="C3" s="34"/>
      <c r="D3" s="34"/>
      <c r="E3" s="34"/>
      <c r="F3" s="15"/>
      <c r="G3" s="2"/>
    </row>
    <row r="4" spans="1:7" ht="13.5" customHeight="1" x14ac:dyDescent="0.2">
      <c r="A4" s="31"/>
      <c r="B4" s="22" t="s">
        <v>48</v>
      </c>
      <c r="C4" s="23" t="s">
        <v>41</v>
      </c>
      <c r="D4" s="23" t="s">
        <v>43</v>
      </c>
      <c r="E4" s="23"/>
      <c r="F4" s="23"/>
      <c r="G4" s="23"/>
    </row>
    <row r="5" spans="1:7" x14ac:dyDescent="0.2">
      <c r="A5" s="31"/>
      <c r="B5" s="16" t="s">
        <v>49</v>
      </c>
      <c r="C5" s="13">
        <f>C38</f>
        <v>4142</v>
      </c>
      <c r="D5" s="13">
        <f>C38</f>
        <v>4142</v>
      </c>
      <c r="E5" s="13"/>
      <c r="F5" s="13"/>
      <c r="G5" s="13"/>
    </row>
    <row r="6" spans="1:7" x14ac:dyDescent="0.2">
      <c r="A6" s="31"/>
      <c r="B6" s="16" t="s">
        <v>51</v>
      </c>
      <c r="C6" s="13">
        <f>C51+D85</f>
        <v>27143</v>
      </c>
      <c r="D6" s="13">
        <f>C64+D85</f>
        <v>27171</v>
      </c>
      <c r="E6" s="13"/>
      <c r="F6" s="13"/>
      <c r="G6" s="13"/>
    </row>
    <row r="7" spans="1:7" x14ac:dyDescent="0.2">
      <c r="A7" s="31"/>
      <c r="B7" s="16" t="s">
        <v>50</v>
      </c>
      <c r="C7" s="13">
        <f>12</f>
        <v>12</v>
      </c>
      <c r="D7" s="13">
        <f>40</f>
        <v>40</v>
      </c>
      <c r="E7" s="13"/>
      <c r="F7" s="13"/>
      <c r="G7" s="13"/>
    </row>
    <row r="8" spans="1:7" x14ac:dyDescent="0.2">
      <c r="A8" s="31"/>
      <c r="B8" s="16" t="s">
        <v>39</v>
      </c>
      <c r="C8" s="42">
        <v>8.9999999999999998E-4</v>
      </c>
      <c r="D8" s="42">
        <v>8.9999999999999998E-4</v>
      </c>
      <c r="E8" s="13"/>
      <c r="F8" s="13"/>
      <c r="G8" s="13"/>
    </row>
    <row r="9" spans="1:7" x14ac:dyDescent="0.2">
      <c r="A9" s="31"/>
      <c r="B9" s="16" t="s">
        <v>44</v>
      </c>
      <c r="C9" s="43">
        <v>10000</v>
      </c>
      <c r="D9" s="43">
        <v>40000</v>
      </c>
      <c r="E9" s="13"/>
      <c r="F9" s="13"/>
      <c r="G9" s="13"/>
    </row>
    <row r="10" spans="1:7" ht="18.75" customHeight="1" x14ac:dyDescent="0.2">
      <c r="A10" s="31"/>
      <c r="B10" s="23" t="s">
        <v>52</v>
      </c>
      <c r="C10" s="47" t="s">
        <v>53</v>
      </c>
      <c r="D10" s="23"/>
      <c r="E10" s="23"/>
      <c r="F10" s="23"/>
      <c r="G10" s="23"/>
    </row>
    <row r="11" spans="1:7" ht="14.25" customHeight="1" x14ac:dyDescent="0.2">
      <c r="A11" s="31"/>
      <c r="B11" s="22" t="s">
        <v>47</v>
      </c>
      <c r="C11" s="23" t="s">
        <v>41</v>
      </c>
      <c r="D11" s="23" t="s">
        <v>43</v>
      </c>
      <c r="E11" s="23"/>
      <c r="F11" s="23"/>
      <c r="G11" s="23" t="s">
        <v>46</v>
      </c>
    </row>
    <row r="12" spans="1:7" x14ac:dyDescent="0.2">
      <c r="A12" s="31"/>
      <c r="B12" s="16">
        <v>0</v>
      </c>
      <c r="C12" s="13">
        <f>C7</f>
        <v>12</v>
      </c>
      <c r="D12" s="13">
        <f>D7</f>
        <v>40</v>
      </c>
      <c r="E12" s="13"/>
      <c r="F12" s="13"/>
      <c r="G12" s="13" t="str">
        <f>IF(C12&gt;D12,CONCATENATE(D4," es mejor"),CONCATENATE(C4," es mejor"))</f>
        <v>Plan Pro es mejor</v>
      </c>
    </row>
    <row r="13" spans="1:7" x14ac:dyDescent="0.2">
      <c r="A13" s="31"/>
      <c r="B13" s="16">
        <v>5000</v>
      </c>
      <c r="C13" s="13">
        <f>C7</f>
        <v>12</v>
      </c>
      <c r="D13" s="13">
        <f>D7</f>
        <v>40</v>
      </c>
      <c r="E13" s="13"/>
      <c r="F13" s="13"/>
      <c r="G13" s="13" t="str">
        <f>IF(C13&gt;D13,CONCATENATE(D4," es mejor"),CONCATENATE(C4," es mejor"))</f>
        <v>Plan Pro es mejor</v>
      </c>
    </row>
    <row r="14" spans="1:7" x14ac:dyDescent="0.2">
      <c r="A14" s="31"/>
      <c r="B14" s="16">
        <v>10000</v>
      </c>
      <c r="C14" s="13">
        <f>C7</f>
        <v>12</v>
      </c>
      <c r="D14" s="13">
        <f>D7</f>
        <v>40</v>
      </c>
      <c r="E14" s="13"/>
      <c r="F14" s="13"/>
      <c r="G14" s="13" t="str">
        <f>IF(C14&gt;D14,CONCATENATE(D4," es mejor"),CONCATENATE(C4," es mejor"))</f>
        <v>Plan Pro es mejor</v>
      </c>
    </row>
    <row r="15" spans="1:7" x14ac:dyDescent="0.2">
      <c r="A15" s="31"/>
      <c r="B15" s="16">
        <v>15000</v>
      </c>
      <c r="C15" s="13">
        <f>C7+C8*(B15-C9)</f>
        <v>16.5</v>
      </c>
      <c r="D15" s="13">
        <f>D7</f>
        <v>40</v>
      </c>
      <c r="E15" s="13"/>
      <c r="F15" s="13"/>
      <c r="G15" s="13" t="str">
        <f>IF(C15&gt;D15,CONCATENATE(D4," es mejor"),CONCATENATE(C4," es mejor"))</f>
        <v>Plan Pro es mejor</v>
      </c>
    </row>
    <row r="16" spans="1:7" x14ac:dyDescent="0.2">
      <c r="A16" s="31"/>
      <c r="B16" s="16">
        <v>20000</v>
      </c>
      <c r="C16" s="13">
        <f>C7+C8*(B16-C9)</f>
        <v>21</v>
      </c>
      <c r="D16" s="13">
        <f>D7</f>
        <v>40</v>
      </c>
      <c r="E16" s="13"/>
      <c r="F16" s="13"/>
      <c r="G16" s="13" t="str">
        <f>IF(C16&gt;D16,CONCATENATE(D4," es mejor"),CONCATENATE(C4," es mejor"))</f>
        <v>Plan Pro es mejor</v>
      </c>
    </row>
    <row r="17" spans="1:7" x14ac:dyDescent="0.2">
      <c r="A17" s="31"/>
      <c r="B17" s="16">
        <v>25000</v>
      </c>
      <c r="C17" s="13">
        <f>C7+C8*(B17-C9)</f>
        <v>25.5</v>
      </c>
      <c r="D17" s="13">
        <f>D7</f>
        <v>40</v>
      </c>
      <c r="E17" s="13"/>
      <c r="F17" s="13"/>
      <c r="G17" s="13" t="str">
        <f>IF(C17&gt;D17,CONCATENATE(D4," es mejor"),CONCATENATE(C4," es mejor"))</f>
        <v>Plan Pro es mejor</v>
      </c>
    </row>
    <row r="18" spans="1:7" x14ac:dyDescent="0.2">
      <c r="A18" s="31"/>
      <c r="B18" s="16">
        <v>30000</v>
      </c>
      <c r="C18" s="13">
        <f>C7+C8*(B18-C9)</f>
        <v>30</v>
      </c>
      <c r="D18" s="13">
        <f>D7</f>
        <v>40</v>
      </c>
      <c r="E18" s="13"/>
      <c r="F18" s="13"/>
      <c r="G18" s="13" t="str">
        <f>IF(C18&gt;D18,CONCATENATE(D4," es mejor"),CONCATENATE(C4," es mejor"))</f>
        <v>Plan Pro es mejor</v>
      </c>
    </row>
    <row r="19" spans="1:7" x14ac:dyDescent="0.2">
      <c r="A19" s="31"/>
      <c r="B19" s="16">
        <v>35000</v>
      </c>
      <c r="C19" s="13">
        <f>C7+C8*(B19-C9)</f>
        <v>34.5</v>
      </c>
      <c r="D19" s="13">
        <f>D7</f>
        <v>40</v>
      </c>
      <c r="E19" s="13"/>
      <c r="F19" s="13"/>
      <c r="G19" s="13" t="str">
        <f>IF(C19&gt;D19,CONCATENATE(D4," es mejor"),CONCATENATE(C4," es mejor"))</f>
        <v>Plan Pro es mejor</v>
      </c>
    </row>
    <row r="20" spans="1:7" x14ac:dyDescent="0.2">
      <c r="A20" s="31"/>
      <c r="B20" s="16">
        <v>40000</v>
      </c>
      <c r="C20" s="13">
        <f>C7+C8*(B20-C9)</f>
        <v>39</v>
      </c>
      <c r="D20" s="13">
        <f>D7</f>
        <v>40</v>
      </c>
      <c r="E20" s="13"/>
      <c r="F20" s="13"/>
      <c r="G20" s="13" t="str">
        <f>IF(C20&gt;D20,CONCATENATE(D4," es mejor"),CONCATENATE(C4," es mejor"))</f>
        <v>Plan Pro es mejor</v>
      </c>
    </row>
    <row r="21" spans="1:7" x14ac:dyDescent="0.2">
      <c r="A21" s="31"/>
      <c r="B21" s="16">
        <v>45000</v>
      </c>
      <c r="C21" s="13">
        <f>C7+C8*(B21-C9)</f>
        <v>43.5</v>
      </c>
      <c r="D21" s="13">
        <f>D7+D8*(B21-D9)</f>
        <v>44.5</v>
      </c>
      <c r="E21" s="13"/>
      <c r="F21" s="13"/>
      <c r="G21" s="13" t="str">
        <f>IF(C21&gt;D21,CONCATENATE(D4," es mejor"),CONCATENATE(C4," es mejor"))</f>
        <v>Plan Pro es mejor</v>
      </c>
    </row>
    <row r="22" spans="1:7" x14ac:dyDescent="0.2">
      <c r="A22" s="31"/>
      <c r="B22" s="16">
        <v>50000</v>
      </c>
      <c r="C22" s="13">
        <f>C7+C8*(B22-C9)</f>
        <v>48</v>
      </c>
      <c r="D22" s="13">
        <f>D7+D8*(B22-D9)</f>
        <v>49</v>
      </c>
      <c r="E22" s="13"/>
      <c r="F22" s="13"/>
      <c r="G22" s="13" t="str">
        <f>IF(C22&gt;D22,CONCATENATE(D4," es mejor"),CONCATENATE(C4," es mejor"))</f>
        <v>Plan Pro es mejor</v>
      </c>
    </row>
    <row r="23" spans="1:7" x14ac:dyDescent="0.2">
      <c r="A23" s="31"/>
      <c r="B23" s="16">
        <v>55000</v>
      </c>
      <c r="C23" s="13">
        <f>C7+C8*(B23-C9)</f>
        <v>52.5</v>
      </c>
      <c r="D23" s="13">
        <f>D7+D8*(B23-D9)</f>
        <v>53.5</v>
      </c>
      <c r="E23" s="13"/>
      <c r="F23" s="13"/>
      <c r="G23" s="13" t="str">
        <f>IF(C23&gt;D23,CONCATENATE(D4," es mejor"),CONCATENATE(C4," es mejor"))</f>
        <v>Plan Pro es mejor</v>
      </c>
    </row>
    <row r="24" spans="1:7" ht="26.25" customHeight="1" thickBot="1" x14ac:dyDescent="0.25">
      <c r="A24" s="31"/>
      <c r="B24" s="31"/>
      <c r="C24" s="31"/>
      <c r="D24" s="31"/>
      <c r="E24" s="31"/>
      <c r="F24" s="11"/>
      <c r="G24" s="3"/>
    </row>
    <row r="25" spans="1:7" x14ac:dyDescent="0.2">
      <c r="A25" s="11"/>
      <c r="B25" s="24" t="s">
        <v>0</v>
      </c>
      <c r="C25" s="25" t="s">
        <v>15</v>
      </c>
      <c r="D25" s="26" t="s">
        <v>16</v>
      </c>
      <c r="E25" s="17"/>
      <c r="F25" s="17"/>
      <c r="G25" s="3"/>
    </row>
    <row r="26" spans="1:7" x14ac:dyDescent="0.2">
      <c r="A26" s="11"/>
      <c r="B26" s="29" t="s">
        <v>6</v>
      </c>
      <c r="C26" s="27"/>
      <c r="D26" s="28"/>
      <c r="E26" s="17"/>
      <c r="F26" s="17"/>
      <c r="G26" s="3"/>
    </row>
    <row r="27" spans="1:7" x14ac:dyDescent="0.2">
      <c r="A27" s="11"/>
      <c r="B27" s="20" t="s">
        <v>2</v>
      </c>
      <c r="C27" s="6">
        <v>600</v>
      </c>
      <c r="D27" s="18" t="s">
        <v>13</v>
      </c>
      <c r="E27" s="17"/>
      <c r="F27" s="17"/>
      <c r="G27" s="4"/>
    </row>
    <row r="28" spans="1:7" x14ac:dyDescent="0.2">
      <c r="A28" s="11"/>
      <c r="B28" s="20" t="s">
        <v>1</v>
      </c>
      <c r="C28" s="6">
        <v>1100</v>
      </c>
      <c r="D28" s="18" t="s">
        <v>13</v>
      </c>
      <c r="E28" s="17"/>
      <c r="F28" s="17"/>
      <c r="G28" s="3"/>
    </row>
    <row r="29" spans="1:7" x14ac:dyDescent="0.2">
      <c r="A29" s="11"/>
      <c r="B29" s="20" t="s">
        <v>3</v>
      </c>
      <c r="C29" s="6">
        <v>810</v>
      </c>
      <c r="D29" s="18" t="s">
        <v>13</v>
      </c>
      <c r="E29" s="17"/>
      <c r="F29" s="17"/>
      <c r="G29" s="4"/>
    </row>
    <row r="30" spans="1:7" x14ac:dyDescent="0.2">
      <c r="A30" s="11"/>
      <c r="B30" s="20" t="s">
        <v>4</v>
      </c>
      <c r="C30" s="6">
        <v>650</v>
      </c>
      <c r="D30" s="18" t="s">
        <v>13</v>
      </c>
      <c r="E30" s="17"/>
      <c r="F30" s="17"/>
      <c r="G30" s="3"/>
    </row>
    <row r="31" spans="1:7" x14ac:dyDescent="0.2">
      <c r="A31" s="11"/>
      <c r="B31" s="20" t="s">
        <v>5</v>
      </c>
      <c r="C31" s="7">
        <v>727</v>
      </c>
      <c r="D31" s="18" t="s">
        <v>13</v>
      </c>
      <c r="E31" s="17"/>
      <c r="F31" s="17"/>
      <c r="G31" s="3"/>
    </row>
    <row r="32" spans="1:7" x14ac:dyDescent="0.2">
      <c r="A32" s="11"/>
      <c r="B32" s="29" t="s">
        <v>7</v>
      </c>
      <c r="C32" s="14"/>
      <c r="D32" s="21"/>
      <c r="E32" s="17"/>
      <c r="F32" s="17"/>
      <c r="G32" s="3"/>
    </row>
    <row r="33" spans="1:7" x14ac:dyDescent="0.2">
      <c r="A33" s="11"/>
      <c r="B33" s="20" t="s">
        <v>8</v>
      </c>
      <c r="C33" s="7">
        <v>130</v>
      </c>
      <c r="D33" s="18" t="s">
        <v>13</v>
      </c>
      <c r="E33" s="17"/>
      <c r="F33" s="17"/>
      <c r="G33" s="3"/>
    </row>
    <row r="34" spans="1:7" x14ac:dyDescent="0.2">
      <c r="A34" s="11"/>
      <c r="B34" s="20" t="s">
        <v>9</v>
      </c>
      <c r="C34" s="8">
        <v>20</v>
      </c>
      <c r="D34" s="18" t="s">
        <v>13</v>
      </c>
      <c r="E34" s="17"/>
      <c r="F34" s="17"/>
      <c r="G34" s="3"/>
    </row>
    <row r="35" spans="1:7" x14ac:dyDescent="0.2">
      <c r="A35" s="11"/>
      <c r="B35" s="20" t="s">
        <v>10</v>
      </c>
      <c r="C35" s="8">
        <v>85</v>
      </c>
      <c r="D35" s="18" t="s">
        <v>13</v>
      </c>
      <c r="E35" s="17"/>
      <c r="F35" s="17"/>
      <c r="G35" s="3"/>
    </row>
    <row r="36" spans="1:7" x14ac:dyDescent="0.2">
      <c r="A36" s="11"/>
      <c r="B36" s="20" t="s">
        <v>11</v>
      </c>
      <c r="C36" s="8">
        <v>20</v>
      </c>
      <c r="D36" s="18" t="s">
        <v>13</v>
      </c>
      <c r="E36" s="17"/>
      <c r="F36" s="17"/>
      <c r="G36" s="3"/>
    </row>
    <row r="37" spans="1:7" x14ac:dyDescent="0.2">
      <c r="A37" s="11"/>
      <c r="B37" s="20" t="s">
        <v>12</v>
      </c>
      <c r="C37" s="6">
        <v>0</v>
      </c>
      <c r="D37" s="18" t="s">
        <v>13</v>
      </c>
      <c r="E37" s="17"/>
      <c r="F37" s="17"/>
      <c r="G37" s="3"/>
    </row>
    <row r="38" spans="1:7" ht="13.5" thickBot="1" x14ac:dyDescent="0.25">
      <c r="A38" s="11"/>
      <c r="B38" s="36" t="s">
        <v>14</v>
      </c>
      <c r="C38" s="35">
        <f>SUM(C27:C37)</f>
        <v>4142</v>
      </c>
      <c r="D38" s="19" t="s">
        <v>13</v>
      </c>
      <c r="E38" s="17"/>
      <c r="F38" s="17"/>
      <c r="G38" s="3"/>
    </row>
    <row r="39" spans="1:7" ht="24.75" customHeight="1" thickBot="1" x14ac:dyDescent="0.25">
      <c r="A39" s="11"/>
      <c r="B39" s="11"/>
      <c r="C39" s="11"/>
      <c r="D39" s="11"/>
      <c r="E39" s="11"/>
      <c r="F39" s="11"/>
      <c r="G39" s="3"/>
    </row>
    <row r="40" spans="1:7" ht="14.25" customHeight="1" x14ac:dyDescent="0.2">
      <c r="A40" s="31"/>
      <c r="B40" s="24" t="s">
        <v>40</v>
      </c>
      <c r="C40" s="25" t="s">
        <v>45</v>
      </c>
      <c r="D40" s="26" t="s">
        <v>16</v>
      </c>
      <c r="G40" s="3"/>
    </row>
    <row r="41" spans="1:7" x14ac:dyDescent="0.2">
      <c r="A41" s="31"/>
      <c r="B41" s="20" t="s">
        <v>17</v>
      </c>
      <c r="C41" s="6">
        <v>0</v>
      </c>
      <c r="D41" s="18" t="s">
        <v>13</v>
      </c>
      <c r="G41" s="5"/>
    </row>
    <row r="42" spans="1:7" x14ac:dyDescent="0.2">
      <c r="A42" s="31"/>
      <c r="B42" s="20" t="s">
        <v>18</v>
      </c>
      <c r="C42" s="6">
        <v>0</v>
      </c>
      <c r="D42" s="18" t="s">
        <v>13</v>
      </c>
      <c r="G42" s="5"/>
    </row>
    <row r="43" spans="1:7" x14ac:dyDescent="0.2">
      <c r="A43" s="31"/>
      <c r="B43" s="20" t="s">
        <v>19</v>
      </c>
      <c r="C43" s="6">
        <v>16</v>
      </c>
      <c r="D43" s="18" t="s">
        <v>13</v>
      </c>
      <c r="G43" s="5"/>
    </row>
    <row r="44" spans="1:7" x14ac:dyDescent="0.2">
      <c r="A44" s="31"/>
      <c r="B44" s="20" t="s">
        <v>20</v>
      </c>
      <c r="C44" s="6">
        <v>0</v>
      </c>
      <c r="D44" s="18" t="s">
        <v>13</v>
      </c>
      <c r="G44" s="5"/>
    </row>
    <row r="45" spans="1:7" x14ac:dyDescent="0.2">
      <c r="A45" s="31"/>
      <c r="B45" s="20" t="s">
        <v>21</v>
      </c>
      <c r="C45" s="7">
        <v>0</v>
      </c>
      <c r="D45" s="18" t="s">
        <v>13</v>
      </c>
      <c r="G45" s="5"/>
    </row>
    <row r="46" spans="1:7" x14ac:dyDescent="0.2">
      <c r="A46" s="31"/>
      <c r="B46" s="20" t="s">
        <v>22</v>
      </c>
      <c r="C46" s="7">
        <v>0</v>
      </c>
      <c r="D46" s="18" t="s">
        <v>13</v>
      </c>
      <c r="G46" s="5"/>
    </row>
    <row r="47" spans="1:7" x14ac:dyDescent="0.2">
      <c r="A47" s="31"/>
      <c r="B47" s="20" t="s">
        <v>23</v>
      </c>
      <c r="C47" s="8">
        <v>70</v>
      </c>
      <c r="D47" s="18" t="s">
        <v>13</v>
      </c>
      <c r="G47" s="3"/>
    </row>
    <row r="48" spans="1:7" x14ac:dyDescent="0.2">
      <c r="A48" s="31"/>
      <c r="B48" s="20" t="s">
        <v>24</v>
      </c>
      <c r="C48" s="8">
        <v>45</v>
      </c>
      <c r="D48" s="18" t="s">
        <v>13</v>
      </c>
      <c r="G48" s="3"/>
    </row>
    <row r="49" spans="1:7" x14ac:dyDescent="0.2">
      <c r="A49" s="31"/>
      <c r="B49" s="20" t="s">
        <v>25</v>
      </c>
      <c r="C49" s="8">
        <v>0</v>
      </c>
      <c r="D49" s="18" t="s">
        <v>13</v>
      </c>
      <c r="G49" s="3"/>
    </row>
    <row r="50" spans="1:7" x14ac:dyDescent="0.2">
      <c r="A50" s="31"/>
      <c r="B50" s="20" t="s">
        <v>26</v>
      </c>
      <c r="C50" s="6">
        <v>12</v>
      </c>
      <c r="D50" s="18" t="s">
        <v>13</v>
      </c>
      <c r="G50" s="3"/>
    </row>
    <row r="51" spans="1:7" ht="13.5" thickBot="1" x14ac:dyDescent="0.25">
      <c r="A51" s="10"/>
      <c r="B51" s="36" t="s">
        <v>14</v>
      </c>
      <c r="C51" s="35">
        <f>SUM(C41:C50)</f>
        <v>143</v>
      </c>
      <c r="D51" s="19" t="s">
        <v>13</v>
      </c>
      <c r="G51" s="3"/>
    </row>
    <row r="52" spans="1:7" ht="28.5" customHeight="1" thickBot="1" x14ac:dyDescent="0.25"/>
    <row r="53" spans="1:7" x14ac:dyDescent="0.2">
      <c r="B53" s="24" t="s">
        <v>42</v>
      </c>
      <c r="C53" s="25" t="s">
        <v>45</v>
      </c>
      <c r="D53" s="26" t="s">
        <v>16</v>
      </c>
    </row>
    <row r="54" spans="1:7" x14ac:dyDescent="0.2">
      <c r="B54" s="20" t="s">
        <v>17</v>
      </c>
      <c r="C54" s="6">
        <v>0</v>
      </c>
      <c r="D54" s="18" t="s">
        <v>13</v>
      </c>
    </row>
    <row r="55" spans="1:7" x14ac:dyDescent="0.2">
      <c r="B55" s="20" t="s">
        <v>18</v>
      </c>
      <c r="C55" s="6">
        <v>0</v>
      </c>
      <c r="D55" s="18" t="s">
        <v>13</v>
      </c>
    </row>
    <row r="56" spans="1:7" x14ac:dyDescent="0.2">
      <c r="B56" s="20" t="s">
        <v>19</v>
      </c>
      <c r="C56" s="6">
        <v>16</v>
      </c>
      <c r="D56" s="18" t="s">
        <v>13</v>
      </c>
    </row>
    <row r="57" spans="1:7" ht="14.25" customHeight="1" x14ac:dyDescent="0.2">
      <c r="B57" s="20" t="s">
        <v>20</v>
      </c>
      <c r="C57" s="6">
        <v>0</v>
      </c>
      <c r="D57" s="18" t="s">
        <v>13</v>
      </c>
    </row>
    <row r="58" spans="1:7" x14ac:dyDescent="0.2">
      <c r="B58" s="20" t="s">
        <v>21</v>
      </c>
      <c r="C58" s="7">
        <v>0</v>
      </c>
      <c r="D58" s="18" t="s">
        <v>13</v>
      </c>
    </row>
    <row r="59" spans="1:7" x14ac:dyDescent="0.2">
      <c r="B59" s="20" t="s">
        <v>22</v>
      </c>
      <c r="C59" s="7">
        <v>0</v>
      </c>
      <c r="D59" s="18" t="s">
        <v>13</v>
      </c>
    </row>
    <row r="60" spans="1:7" x14ac:dyDescent="0.2">
      <c r="B60" s="20" t="s">
        <v>23</v>
      </c>
      <c r="C60" s="8">
        <v>70</v>
      </c>
      <c r="D60" s="18" t="s">
        <v>13</v>
      </c>
    </row>
    <row r="61" spans="1:7" x14ac:dyDescent="0.2">
      <c r="B61" s="20" t="s">
        <v>24</v>
      </c>
      <c r="C61" s="8">
        <v>45</v>
      </c>
      <c r="D61" s="18" t="s">
        <v>13</v>
      </c>
    </row>
    <row r="62" spans="1:7" x14ac:dyDescent="0.2">
      <c r="B62" s="20" t="s">
        <v>25</v>
      </c>
      <c r="C62" s="8">
        <v>0</v>
      </c>
      <c r="D62" s="18" t="s">
        <v>13</v>
      </c>
    </row>
    <row r="63" spans="1:7" x14ac:dyDescent="0.2">
      <c r="B63" s="20" t="s">
        <v>26</v>
      </c>
      <c r="C63" s="6">
        <v>40</v>
      </c>
      <c r="D63" s="18" t="s">
        <v>13</v>
      </c>
    </row>
    <row r="64" spans="1:7" ht="13.5" thickBot="1" x14ac:dyDescent="0.25">
      <c r="B64" s="36" t="s">
        <v>14</v>
      </c>
      <c r="C64" s="35">
        <f>SUM(C54:C63)</f>
        <v>171</v>
      </c>
      <c r="D64" s="19" t="s">
        <v>13</v>
      </c>
    </row>
    <row r="65" spans="2:6" ht="24.75" customHeight="1" thickBot="1" x14ac:dyDescent="0.25"/>
    <row r="66" spans="2:6" x14ac:dyDescent="0.2">
      <c r="B66" s="24" t="s">
        <v>27</v>
      </c>
      <c r="C66" s="25"/>
      <c r="D66" s="25"/>
      <c r="E66" s="26"/>
      <c r="F66" s="44"/>
    </row>
    <row r="67" spans="2:6" x14ac:dyDescent="0.2">
      <c r="B67" s="29" t="s">
        <v>28</v>
      </c>
      <c r="C67" s="37" t="s">
        <v>36</v>
      </c>
      <c r="D67" s="37" t="s">
        <v>15</v>
      </c>
      <c r="E67" s="38" t="s">
        <v>16</v>
      </c>
      <c r="F67" s="46"/>
    </row>
    <row r="68" spans="2:6" x14ac:dyDescent="0.2">
      <c r="B68" s="20" t="s">
        <v>29</v>
      </c>
      <c r="C68" s="39" t="s">
        <v>37</v>
      </c>
      <c r="D68" s="6">
        <v>1800</v>
      </c>
      <c r="E68" s="18" t="s">
        <v>13</v>
      </c>
      <c r="F68" s="12"/>
    </row>
    <row r="69" spans="2:6" x14ac:dyDescent="0.2">
      <c r="B69" s="20" t="s">
        <v>30</v>
      </c>
      <c r="C69" s="39" t="s">
        <v>37</v>
      </c>
      <c r="D69" s="6">
        <v>1800</v>
      </c>
      <c r="E69" s="18" t="s">
        <v>13</v>
      </c>
      <c r="F69" s="12"/>
    </row>
    <row r="70" spans="2:6" x14ac:dyDescent="0.2">
      <c r="B70" s="20" t="s">
        <v>33</v>
      </c>
      <c r="C70" s="39" t="s">
        <v>38</v>
      </c>
      <c r="D70" s="6">
        <v>1800</v>
      </c>
      <c r="E70" s="18" t="s">
        <v>13</v>
      </c>
      <c r="F70" s="12"/>
    </row>
    <row r="71" spans="2:6" x14ac:dyDescent="0.2">
      <c r="B71" s="20" t="s">
        <v>31</v>
      </c>
      <c r="C71" s="39" t="s">
        <v>37</v>
      </c>
      <c r="D71" s="6">
        <v>1800</v>
      </c>
      <c r="E71" s="18" t="s">
        <v>13</v>
      </c>
      <c r="F71" s="12"/>
    </row>
    <row r="72" spans="2:6" x14ac:dyDescent="0.2">
      <c r="B72" s="20" t="s">
        <v>32</v>
      </c>
      <c r="C72" s="39" t="s">
        <v>37</v>
      </c>
      <c r="D72" s="6">
        <v>1800</v>
      </c>
      <c r="E72" s="18" t="s">
        <v>13</v>
      </c>
      <c r="F72" s="12"/>
    </row>
    <row r="73" spans="2:6" x14ac:dyDescent="0.2">
      <c r="B73" s="29" t="s">
        <v>34</v>
      </c>
      <c r="C73" s="27"/>
      <c r="D73" s="14"/>
      <c r="E73" s="21"/>
      <c r="F73" s="45"/>
    </row>
    <row r="74" spans="2:6" x14ac:dyDescent="0.2">
      <c r="B74" s="20" t="s">
        <v>29</v>
      </c>
      <c r="C74" s="39" t="s">
        <v>37</v>
      </c>
      <c r="D74" s="6">
        <v>1800</v>
      </c>
      <c r="E74" s="18" t="s">
        <v>13</v>
      </c>
      <c r="F74" s="12"/>
    </row>
    <row r="75" spans="2:6" x14ac:dyDescent="0.2">
      <c r="B75" s="20" t="s">
        <v>30</v>
      </c>
      <c r="C75" s="39" t="s">
        <v>37</v>
      </c>
      <c r="D75" s="6">
        <v>1800</v>
      </c>
      <c r="E75" s="18" t="s">
        <v>13</v>
      </c>
      <c r="F75" s="12"/>
    </row>
    <row r="76" spans="2:6" x14ac:dyDescent="0.2">
      <c r="B76" s="20" t="s">
        <v>33</v>
      </c>
      <c r="C76" s="39" t="s">
        <v>38</v>
      </c>
      <c r="D76" s="6">
        <v>1800</v>
      </c>
      <c r="E76" s="18" t="s">
        <v>13</v>
      </c>
      <c r="F76" s="12"/>
    </row>
    <row r="77" spans="2:6" x14ac:dyDescent="0.2">
      <c r="B77" s="20" t="s">
        <v>31</v>
      </c>
      <c r="C77" s="39" t="s">
        <v>37</v>
      </c>
      <c r="D77" s="6">
        <v>1800</v>
      </c>
      <c r="E77" s="18" t="s">
        <v>13</v>
      </c>
      <c r="F77" s="12"/>
    </row>
    <row r="78" spans="2:6" x14ac:dyDescent="0.2">
      <c r="B78" s="20" t="s">
        <v>32</v>
      </c>
      <c r="C78" s="39" t="s">
        <v>37</v>
      </c>
      <c r="D78" s="6">
        <v>1800</v>
      </c>
      <c r="E78" s="18" t="s">
        <v>13</v>
      </c>
      <c r="F78" s="12"/>
    </row>
    <row r="79" spans="2:6" x14ac:dyDescent="0.2">
      <c r="B79" s="29" t="s">
        <v>35</v>
      </c>
      <c r="C79" s="27"/>
      <c r="D79" s="14"/>
      <c r="E79" s="21"/>
      <c r="F79" s="45"/>
    </row>
    <row r="80" spans="2:6" x14ac:dyDescent="0.2">
      <c r="B80" s="20" t="s">
        <v>29</v>
      </c>
      <c r="C80" s="39" t="s">
        <v>37</v>
      </c>
      <c r="D80" s="6">
        <v>1800</v>
      </c>
      <c r="E80" s="18" t="s">
        <v>13</v>
      </c>
      <c r="F80" s="12"/>
    </row>
    <row r="81" spans="2:6" x14ac:dyDescent="0.2">
      <c r="B81" s="20" t="s">
        <v>30</v>
      </c>
      <c r="C81" s="39" t="s">
        <v>37</v>
      </c>
      <c r="D81" s="6">
        <v>1800</v>
      </c>
      <c r="E81" s="18" t="s">
        <v>13</v>
      </c>
      <c r="F81" s="12"/>
    </row>
    <row r="82" spans="2:6" x14ac:dyDescent="0.2">
      <c r="B82" s="20" t="s">
        <v>33</v>
      </c>
      <c r="C82" s="39" t="s">
        <v>38</v>
      </c>
      <c r="D82" s="6">
        <v>1800</v>
      </c>
      <c r="E82" s="18" t="s">
        <v>13</v>
      </c>
      <c r="F82" s="12"/>
    </row>
    <row r="83" spans="2:6" x14ac:dyDescent="0.2">
      <c r="B83" s="20" t="s">
        <v>31</v>
      </c>
      <c r="C83" s="39" t="s">
        <v>37</v>
      </c>
      <c r="D83" s="6">
        <v>1800</v>
      </c>
      <c r="E83" s="18" t="s">
        <v>13</v>
      </c>
      <c r="F83" s="12"/>
    </row>
    <row r="84" spans="2:6" x14ac:dyDescent="0.2">
      <c r="B84" s="20" t="s">
        <v>32</v>
      </c>
      <c r="C84" s="39" t="s">
        <v>37</v>
      </c>
      <c r="D84" s="6">
        <v>1800</v>
      </c>
      <c r="E84" s="18" t="s">
        <v>13</v>
      </c>
      <c r="F84" s="12"/>
    </row>
    <row r="85" spans="2:6" ht="13.5" thickBot="1" x14ac:dyDescent="0.25">
      <c r="B85" s="36" t="s">
        <v>14</v>
      </c>
      <c r="C85" s="41"/>
      <c r="D85" s="40">
        <f>SUM(D68:D84)</f>
        <v>27000</v>
      </c>
      <c r="E85" s="19" t="s">
        <v>13</v>
      </c>
      <c r="F85" s="12"/>
    </row>
  </sheetData>
  <mergeCells count="5">
    <mergeCell ref="A1:E1"/>
    <mergeCell ref="A2:E3"/>
    <mergeCell ref="A24:E24"/>
    <mergeCell ref="A4:A23"/>
    <mergeCell ref="A40:A50"/>
  </mergeCells>
  <phoneticPr fontId="2" type="noConversion"/>
  <pageMargins left="1.18" right="0.75" top="0.81" bottom="0.17" header="0.18" footer="0.17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TCO Calculator</vt:lpstr>
      <vt:lpstr>TCO Chart</vt:lpstr>
      <vt:lpstr>'TCO Calculator'!Área_de_impresión</vt:lpstr>
    </vt:vector>
  </TitlesOfParts>
  <Manager/>
  <Company>Immedient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Ginés</dc:creator>
  <cp:keywords/>
  <dc:description/>
  <cp:lastModifiedBy>Ginés</cp:lastModifiedBy>
  <cp:lastPrinted>2005-02-01T19:39:18Z</cp:lastPrinted>
  <dcterms:created xsi:type="dcterms:W3CDTF">2004-05-19T17:36:17Z</dcterms:created>
  <dcterms:modified xsi:type="dcterms:W3CDTF">2021-05-27T21:47:52Z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TC011840411033</vt:lpwstr>
  </property>
</Properties>
</file>